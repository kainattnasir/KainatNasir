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 CS\Semester 1\AICTL\"/>
    </mc:Choice>
  </mc:AlternateContent>
  <xr:revisionPtr revIDLastSave="0" documentId="13_ncr:1_{A686D6BF-DD24-41E2-B0FC-63EA505B9D69}" xr6:coauthVersionLast="47" xr6:coauthVersionMax="47" xr10:uidLastSave="{00000000-0000-0000-0000-000000000000}"/>
  <bookViews>
    <workbookView xWindow="-110" yWindow="-110" windowWidth="19420" windowHeight="10420" xr2:uid="{31DD161E-4F12-4B5A-9BD3-81EF68338F98}"/>
  </bookViews>
  <sheets>
    <sheet name="Sheet1" sheetId="1" r:id="rId1"/>
    <sheet name="Sheet2" sheetId="2" r:id="rId2"/>
    <sheet name="Sheet3" sheetId="3" r:id="rId3"/>
    <sheet name="Sheet6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" i="1" l="1"/>
  <c r="E10" i="1"/>
  <c r="F10" i="1"/>
  <c r="F5" i="1"/>
  <c r="F2" i="1"/>
  <c r="E2" i="1"/>
</calcChain>
</file>

<file path=xl/sharedStrings.xml><?xml version="1.0" encoding="utf-8"?>
<sst xmlns="http://schemas.openxmlformats.org/spreadsheetml/2006/main" count="36" uniqueCount="36">
  <si>
    <t>Percentage</t>
  </si>
  <si>
    <t xml:space="preserve">       Max. Marks</t>
  </si>
  <si>
    <t>Obt. Marks</t>
  </si>
  <si>
    <t>Average</t>
  </si>
  <si>
    <t>Subject</t>
  </si>
  <si>
    <t>Maths</t>
  </si>
  <si>
    <t>Biology</t>
  </si>
  <si>
    <t>Chemistry</t>
  </si>
  <si>
    <t>English</t>
  </si>
  <si>
    <t>Urdu</t>
  </si>
  <si>
    <t>Physics</t>
  </si>
  <si>
    <t>P.Studies</t>
  </si>
  <si>
    <t>Islamiyat</t>
  </si>
  <si>
    <t>History</t>
  </si>
  <si>
    <t>Name</t>
  </si>
  <si>
    <t xml:space="preserve"> Kainat Nasir</t>
  </si>
  <si>
    <t>Dua Javaid</t>
  </si>
  <si>
    <t>Alina</t>
  </si>
  <si>
    <t>Emaan</t>
  </si>
  <si>
    <t>Suben Fatima</t>
  </si>
  <si>
    <t>Laiba</t>
  </si>
  <si>
    <t>Ayesha</t>
  </si>
  <si>
    <t>Amna</t>
  </si>
  <si>
    <t>Fatima</t>
  </si>
  <si>
    <t>Day</t>
  </si>
  <si>
    <t>Prefetching</t>
  </si>
  <si>
    <t>Department Selected</t>
  </si>
  <si>
    <t>Phase 2</t>
  </si>
  <si>
    <t>Survey</t>
  </si>
  <si>
    <t>Collected teachers' info</t>
  </si>
  <si>
    <t>submited report</t>
  </si>
  <si>
    <t>Google form was designed</t>
  </si>
  <si>
    <t>Data was presented</t>
  </si>
  <si>
    <t>Designing and filling of form</t>
  </si>
  <si>
    <t>Project End</t>
  </si>
  <si>
    <t>Form was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</si>
</sst>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0" borderId="0" xfId="0" applyAlignment="1">
      <alignment wrapText="1"/>
    </xf>
    <xf numFmtId="43" fontId="0" fillId="8" borderId="0" xfId="1" applyFont="1" applyFill="1" applyAlignment="1">
      <alignment vertical="center" wrapText="1"/>
    </xf>
    <xf numFmtId="0" fontId="0" fillId="0" borderId="0" xfId="0" applyAlignment="1">
      <alignment textRotation="255"/>
    </xf>
    <xf numFmtId="0" fontId="0" fillId="9" borderId="0" xfId="0" applyFill="1"/>
    <xf numFmtId="0" fontId="0" fillId="10" borderId="0" xfId="0" applyFill="1" applyAlignment="1">
      <alignment textRotation="255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       Max. Marks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C-4619-BEB3-8F1AE44CFC4E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Obt. Marks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90</c:v>
                </c:pt>
                <c:pt idx="1">
                  <c:v>85</c:v>
                </c:pt>
                <c:pt idx="2">
                  <c:v>90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1C-4619-BEB3-8F1AE44CFC4E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Average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88.333333333333329</c:v>
                </c:pt>
                <c:pt idx="3">
                  <c:v>80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1C-4619-BEB3-8F1AE44CFC4E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Percentage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88.33</c:v>
                </c:pt>
                <c:pt idx="3">
                  <c:v>80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1C-4619-BEB3-8F1AE44CF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46621071"/>
        <c:axId val="1246623951"/>
      </c:barChart>
      <c:catAx>
        <c:axId val="1246621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23951"/>
        <c:crosses val="autoZero"/>
        <c:auto val="1"/>
        <c:lblAlgn val="ctr"/>
        <c:lblOffset val="100"/>
        <c:noMultiLvlLbl val="0"/>
      </c:catAx>
      <c:valAx>
        <c:axId val="1246623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Sheet1!$D$1</c:f>
              <c:strCache>
                <c:ptCount val="1"/>
                <c:pt idx="0">
                  <c:v>Obt.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39-42F4-8E71-133C669554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39-42F4-8E71-133C669554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39-42F4-8E71-133C669554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239-42F4-8E71-133C669554C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239-42F4-8E71-133C669554C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239-42F4-8E71-133C669554C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239-42F4-8E71-133C669554C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239-42F4-8E71-133C669554C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239-42F4-8E71-133C669554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Sheet1!$D$2:$D$10</c:f>
              <c:numCache>
                <c:formatCode>General</c:formatCode>
                <c:ptCount val="9"/>
                <c:pt idx="0">
                  <c:v>90</c:v>
                </c:pt>
                <c:pt idx="1">
                  <c:v>85</c:v>
                </c:pt>
                <c:pt idx="2">
                  <c:v>90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239-42F4-8E71-133C669554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Report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594050743657042"/>
          <c:y val="0.22206073199183432"/>
          <c:w val="0.63061504811898517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       Max. Marks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9-44CF-811E-7CEC1FC41405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Obt. Marks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Sheet1!$D$2:$D$10</c:f>
              <c:numCache>
                <c:formatCode>General</c:formatCode>
                <c:ptCount val="9"/>
                <c:pt idx="0">
                  <c:v>90</c:v>
                </c:pt>
                <c:pt idx="1">
                  <c:v>85</c:v>
                </c:pt>
                <c:pt idx="2">
                  <c:v>90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90</c:v>
                </c:pt>
                <c:pt idx="7">
                  <c:v>90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B9-44CF-811E-7CEC1FC41405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Average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Sheet1!$E$2:$E$10</c:f>
              <c:numCache>
                <c:formatCode>General</c:formatCode>
                <c:ptCount val="9"/>
                <c:pt idx="0">
                  <c:v>88.333333333333329</c:v>
                </c:pt>
                <c:pt idx="3">
                  <c:v>80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9-44CF-811E-7CEC1FC41405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Percentage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multiLvlStrRef>
              <c:f>Sheet1!$A$2:$B$10</c:f>
              <c:multiLvlStrCache>
                <c:ptCount val="9"/>
                <c:lvl>
                  <c:pt idx="0">
                    <c:v>Maths</c:v>
                  </c:pt>
                  <c:pt idx="1">
                    <c:v>Biology</c:v>
                  </c:pt>
                  <c:pt idx="2">
                    <c:v>Chemistry</c:v>
                  </c:pt>
                  <c:pt idx="3">
                    <c:v>English</c:v>
                  </c:pt>
                  <c:pt idx="4">
                    <c:v>Urdu</c:v>
                  </c:pt>
                  <c:pt idx="5">
                    <c:v>Physics</c:v>
                  </c:pt>
                  <c:pt idx="6">
                    <c:v>P.Studies</c:v>
                  </c:pt>
                  <c:pt idx="7">
                    <c:v>Islamiyat</c:v>
                  </c:pt>
                  <c:pt idx="8">
                    <c:v>History</c:v>
                  </c:pt>
                </c:lvl>
                <c:lvl>
                  <c:pt idx="0">
                    <c:v> Kainat Nasir</c:v>
                  </c:pt>
                  <c:pt idx="1">
                    <c:v>Dua Javaid</c:v>
                  </c:pt>
                  <c:pt idx="2">
                    <c:v>Alina</c:v>
                  </c:pt>
                  <c:pt idx="3">
                    <c:v>Emaan</c:v>
                  </c:pt>
                  <c:pt idx="4">
                    <c:v>Suben Fatima</c:v>
                  </c:pt>
                  <c:pt idx="5">
                    <c:v>Laiba</c:v>
                  </c:pt>
                  <c:pt idx="6">
                    <c:v>Ayesha</c:v>
                  </c:pt>
                  <c:pt idx="7">
                    <c:v>Amna</c:v>
                  </c:pt>
                  <c:pt idx="8">
                    <c:v>Fatima</c:v>
                  </c:pt>
                </c:lvl>
              </c:multiLvlStrCache>
            </c:multiLvlStrRef>
          </c:cat>
          <c:val>
            <c:numRef>
              <c:f>Sheet1!$F$2:$F$10</c:f>
              <c:numCache>
                <c:formatCode>General</c:formatCode>
                <c:ptCount val="9"/>
                <c:pt idx="0">
                  <c:v>88.33</c:v>
                </c:pt>
                <c:pt idx="3">
                  <c:v>80</c:v>
                </c:pt>
                <c:pt idx="8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B9-44CF-811E-7CEC1FC4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246621071"/>
        <c:axId val="1246623951"/>
      </c:barChart>
      <c:catAx>
        <c:axId val="12466210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23951"/>
        <c:crosses val="autoZero"/>
        <c:auto val="1"/>
        <c:lblAlgn val="ctr"/>
        <c:lblOffset val="100"/>
        <c:noMultiLvlLbl val="0"/>
      </c:catAx>
      <c:valAx>
        <c:axId val="12466239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6621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3</xdr:row>
      <xdr:rowOff>44450</xdr:rowOff>
    </xdr:from>
    <xdr:to>
      <xdr:col>11</xdr:col>
      <xdr:colOff>314325</xdr:colOff>
      <xdr:row>18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AA0F8F-DCC1-297D-8DBE-AE306CD19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3</xdr:row>
      <xdr:rowOff>25400</xdr:rowOff>
    </xdr:from>
    <xdr:to>
      <xdr:col>13</xdr:col>
      <xdr:colOff>44450</xdr:colOff>
      <xdr:row>18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0C834-3C0C-4754-BD6D-B2AC11668D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1</xdr:row>
      <xdr:rowOff>63500</xdr:rowOff>
    </xdr:from>
    <xdr:to>
      <xdr:col>14</xdr:col>
      <xdr:colOff>57150</xdr:colOff>
      <xdr:row>18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60E9DE-5464-4572-99D5-19DC894AE8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3BDA-6B2B-42A3-92D1-8EA942972A99}">
  <dimension ref="A1:F10"/>
  <sheetViews>
    <sheetView tabSelected="1" workbookViewId="0">
      <selection activeCell="L2" sqref="L2"/>
    </sheetView>
  </sheetViews>
  <sheetFormatPr defaultRowHeight="14.5" x14ac:dyDescent="0.35"/>
  <cols>
    <col min="1" max="1" width="11.81640625" customWidth="1"/>
    <col min="3" max="3" width="14.7265625" customWidth="1"/>
    <col min="4" max="4" width="14.6328125" customWidth="1"/>
    <col min="6" max="6" width="10" customWidth="1"/>
  </cols>
  <sheetData>
    <row r="1" spans="1:6" x14ac:dyDescent="0.35">
      <c r="A1" s="1" t="s">
        <v>14</v>
      </c>
      <c r="B1" s="1" t="s">
        <v>4</v>
      </c>
      <c r="C1" s="1" t="s">
        <v>1</v>
      </c>
      <c r="D1" s="1" t="s">
        <v>2</v>
      </c>
      <c r="E1" s="1" t="s">
        <v>3</v>
      </c>
      <c r="F1" s="2" t="s">
        <v>0</v>
      </c>
    </row>
    <row r="2" spans="1:6" x14ac:dyDescent="0.35">
      <c r="A2" t="s">
        <v>15</v>
      </c>
      <c r="B2" t="s">
        <v>5</v>
      </c>
      <c r="C2">
        <v>100</v>
      </c>
      <c r="D2">
        <v>90</v>
      </c>
      <c r="E2" s="1">
        <f>AVERAGE(D2:D4)</f>
        <v>88.333333333333329</v>
      </c>
      <c r="F2" s="2">
        <f>(88.33/100*100)</f>
        <v>88.33</v>
      </c>
    </row>
    <row r="3" spans="1:6" x14ac:dyDescent="0.35">
      <c r="A3" t="s">
        <v>16</v>
      </c>
      <c r="B3" t="s">
        <v>6</v>
      </c>
      <c r="C3">
        <v>100</v>
      </c>
      <c r="D3">
        <v>85</v>
      </c>
      <c r="E3" s="1"/>
      <c r="F3" s="2"/>
    </row>
    <row r="4" spans="1:6" x14ac:dyDescent="0.35">
      <c r="A4" t="s">
        <v>17</v>
      </c>
      <c r="B4" t="s">
        <v>7</v>
      </c>
      <c r="C4">
        <v>100</v>
      </c>
      <c r="D4">
        <v>90</v>
      </c>
      <c r="E4" s="1"/>
      <c r="F4" s="2"/>
    </row>
    <row r="5" spans="1:6" x14ac:dyDescent="0.35">
      <c r="A5" t="s">
        <v>18</v>
      </c>
      <c r="B5" t="s">
        <v>8</v>
      </c>
      <c r="C5">
        <v>100</v>
      </c>
      <c r="D5">
        <v>80</v>
      </c>
      <c r="E5" s="1">
        <f>AVERAGE(D5:D7)</f>
        <v>80</v>
      </c>
      <c r="F5" s="2">
        <f>(80/100*100)</f>
        <v>80</v>
      </c>
    </row>
    <row r="6" spans="1:6" x14ac:dyDescent="0.35">
      <c r="A6" t="s">
        <v>19</v>
      </c>
      <c r="B6" t="s">
        <v>9</v>
      </c>
      <c r="C6">
        <v>100</v>
      </c>
      <c r="D6">
        <v>80</v>
      </c>
      <c r="E6" s="1"/>
      <c r="F6" s="2"/>
    </row>
    <row r="7" spans="1:6" x14ac:dyDescent="0.35">
      <c r="A7" t="s">
        <v>20</v>
      </c>
      <c r="B7" t="s">
        <v>10</v>
      </c>
      <c r="C7">
        <v>100</v>
      </c>
      <c r="D7">
        <v>80</v>
      </c>
      <c r="E7" s="1"/>
      <c r="F7" s="2"/>
    </row>
    <row r="8" spans="1:6" x14ac:dyDescent="0.35">
      <c r="A8" t="s">
        <v>21</v>
      </c>
      <c r="B8" t="s">
        <v>11</v>
      </c>
      <c r="C8">
        <v>100</v>
      </c>
      <c r="D8">
        <v>90</v>
      </c>
      <c r="E8" s="1"/>
      <c r="F8" s="2"/>
    </row>
    <row r="9" spans="1:6" x14ac:dyDescent="0.35">
      <c r="A9" t="s">
        <v>22</v>
      </c>
      <c r="B9" t="s">
        <v>12</v>
      </c>
      <c r="C9">
        <v>100</v>
      </c>
      <c r="D9">
        <v>90</v>
      </c>
      <c r="E9" s="1"/>
      <c r="F9" s="2"/>
    </row>
    <row r="10" spans="1:6" x14ac:dyDescent="0.35">
      <c r="A10" t="s">
        <v>23</v>
      </c>
      <c r="B10" t="s">
        <v>13</v>
      </c>
      <c r="C10">
        <v>100</v>
      </c>
      <c r="D10">
        <v>90</v>
      </c>
      <c r="E10" s="1">
        <f>AVERAGE(D8:D10)</f>
        <v>90</v>
      </c>
      <c r="F10" s="2">
        <f>(90/100*100)</f>
        <v>90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851DD-FB9A-46A1-804A-1E67585D6330}">
  <dimension ref="A1"/>
  <sheetViews>
    <sheetView workbookViewId="0">
      <selection activeCell="P11" sqref="P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3A8CC-A89D-4425-BC34-7C2715E58488}">
  <dimension ref="A1"/>
  <sheetViews>
    <sheetView workbookViewId="0">
      <selection activeCell="C12" sqref="C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F21CC-83F4-4EA8-91D0-C67113D9F37D}">
  <dimension ref="A1:H32"/>
  <sheetViews>
    <sheetView workbookViewId="0">
      <selection activeCell="J8" sqref="J8"/>
    </sheetView>
  </sheetViews>
  <sheetFormatPr defaultRowHeight="14.5" x14ac:dyDescent="0.35"/>
  <cols>
    <col min="1" max="1" width="10.36328125" customWidth="1"/>
    <col min="2" max="2" width="19.7265625" customWidth="1"/>
    <col min="3" max="3" width="16.36328125" customWidth="1"/>
    <col min="4" max="4" width="22.6328125" customWidth="1"/>
    <col min="5" max="5" width="18.81640625" customWidth="1"/>
    <col min="7" max="7" width="17.26953125" customWidth="1"/>
  </cols>
  <sheetData>
    <row r="1" spans="1:8" ht="14.5" customHeight="1" x14ac:dyDescent="0.35">
      <c r="A1" s="3" t="s">
        <v>24</v>
      </c>
      <c r="B1" s="4">
        <v>1</v>
      </c>
      <c r="C1" s="3">
        <v>2</v>
      </c>
      <c r="D1" s="4">
        <v>3</v>
      </c>
      <c r="E1" s="3">
        <v>4</v>
      </c>
      <c r="F1" s="4">
        <v>5</v>
      </c>
      <c r="G1" s="3">
        <v>6</v>
      </c>
      <c r="H1" s="11" t="s">
        <v>34</v>
      </c>
    </row>
    <row r="2" spans="1:8" x14ac:dyDescent="0.35">
      <c r="A2" s="5" t="s">
        <v>25</v>
      </c>
      <c r="B2" t="s">
        <v>26</v>
      </c>
      <c r="C2" s="10"/>
      <c r="E2" s="10"/>
      <c r="G2" s="10"/>
      <c r="H2" s="11"/>
    </row>
    <row r="3" spans="1:8" x14ac:dyDescent="0.35">
      <c r="A3" s="5"/>
      <c r="B3" t="s">
        <v>29</v>
      </c>
      <c r="C3" s="10"/>
      <c r="E3" s="10"/>
      <c r="G3" s="10"/>
      <c r="H3" s="11"/>
    </row>
    <row r="4" spans="1:8" x14ac:dyDescent="0.35">
      <c r="A4" s="5"/>
      <c r="B4" t="s">
        <v>30</v>
      </c>
      <c r="C4" s="10"/>
      <c r="E4" s="10"/>
      <c r="G4" s="10"/>
      <c r="H4" s="11"/>
    </row>
    <row r="5" spans="1:8" x14ac:dyDescent="0.35">
      <c r="A5" s="5"/>
      <c r="C5" s="10"/>
      <c r="E5" s="10"/>
      <c r="G5" s="10"/>
      <c r="H5" s="11"/>
    </row>
    <row r="6" spans="1:8" x14ac:dyDescent="0.35">
      <c r="A6" s="6" t="s">
        <v>27</v>
      </c>
      <c r="C6" s="10"/>
      <c r="E6" s="10"/>
      <c r="G6" s="10"/>
      <c r="H6" s="11"/>
    </row>
    <row r="7" spans="1:8" x14ac:dyDescent="0.35">
      <c r="A7" s="6"/>
      <c r="C7" s="10"/>
      <c r="D7" t="s">
        <v>31</v>
      </c>
      <c r="E7" s="10"/>
      <c r="G7" s="10"/>
      <c r="H7" s="11"/>
    </row>
    <row r="8" spans="1:8" x14ac:dyDescent="0.35">
      <c r="A8" s="6"/>
      <c r="C8" s="10"/>
      <c r="E8" s="10"/>
      <c r="G8" s="10"/>
      <c r="H8" s="11"/>
    </row>
    <row r="9" spans="1:8" x14ac:dyDescent="0.35">
      <c r="A9" s="6"/>
      <c r="C9" s="10"/>
      <c r="E9" s="10"/>
      <c r="G9" s="10"/>
      <c r="H9" s="11"/>
    </row>
    <row r="10" spans="1:8" x14ac:dyDescent="0.35">
      <c r="A10" s="5" t="s">
        <v>28</v>
      </c>
      <c r="C10" s="10"/>
      <c r="E10" s="10" t="s">
        <v>35</v>
      </c>
      <c r="G10" s="10"/>
      <c r="H10" s="11"/>
    </row>
    <row r="11" spans="1:8" x14ac:dyDescent="0.35">
      <c r="A11" s="5"/>
      <c r="C11" s="10"/>
      <c r="E11" s="10"/>
      <c r="G11" s="10"/>
      <c r="H11" s="11"/>
    </row>
    <row r="12" spans="1:8" x14ac:dyDescent="0.35">
      <c r="A12" s="5"/>
      <c r="C12" s="10"/>
      <c r="E12" s="10"/>
      <c r="G12" s="10"/>
      <c r="H12" s="11"/>
    </row>
    <row r="13" spans="1:8" x14ac:dyDescent="0.35">
      <c r="A13" s="5"/>
      <c r="B13" s="7"/>
      <c r="C13" s="10"/>
      <c r="E13" s="10"/>
      <c r="G13" s="10"/>
      <c r="H13" s="11"/>
    </row>
    <row r="14" spans="1:8" ht="14.5" customHeight="1" x14ac:dyDescent="0.35">
      <c r="A14" s="8" t="s">
        <v>33</v>
      </c>
      <c r="C14" s="10"/>
      <c r="E14" s="10"/>
      <c r="G14" s="10" t="s">
        <v>32</v>
      </c>
      <c r="H14" s="11"/>
    </row>
    <row r="15" spans="1:8" x14ac:dyDescent="0.35">
      <c r="A15" s="8"/>
      <c r="C15" s="10"/>
      <c r="E15" s="10"/>
      <c r="G15" s="10"/>
      <c r="H15" s="11"/>
    </row>
    <row r="16" spans="1:8" x14ac:dyDescent="0.35">
      <c r="A16" s="8"/>
      <c r="C16" s="10"/>
      <c r="E16" s="10"/>
      <c r="G16" s="10"/>
      <c r="H16" s="11"/>
    </row>
    <row r="17" spans="8:8" ht="102.5" customHeight="1" x14ac:dyDescent="0.35">
      <c r="H17" s="9"/>
    </row>
    <row r="18" spans="8:8" x14ac:dyDescent="0.35">
      <c r="H18" s="9"/>
    </row>
    <row r="19" spans="8:8" x14ac:dyDescent="0.35">
      <c r="H19" s="9"/>
    </row>
    <row r="20" spans="8:8" x14ac:dyDescent="0.35">
      <c r="H20" s="9"/>
    </row>
    <row r="21" spans="8:8" x14ac:dyDescent="0.35">
      <c r="H21" s="9"/>
    </row>
    <row r="22" spans="8:8" x14ac:dyDescent="0.35">
      <c r="H22" s="9"/>
    </row>
    <row r="23" spans="8:8" x14ac:dyDescent="0.35">
      <c r="H23" s="9"/>
    </row>
    <row r="24" spans="8:8" x14ac:dyDescent="0.35">
      <c r="H24" s="9"/>
    </row>
    <row r="25" spans="8:8" x14ac:dyDescent="0.35">
      <c r="H25" s="9"/>
    </row>
    <row r="26" spans="8:8" x14ac:dyDescent="0.35">
      <c r="H26" s="9"/>
    </row>
    <row r="27" spans="8:8" x14ac:dyDescent="0.35">
      <c r="H27" s="9"/>
    </row>
    <row r="28" spans="8:8" x14ac:dyDescent="0.35">
      <c r="H28" s="9"/>
    </row>
    <row r="29" spans="8:8" x14ac:dyDescent="0.35">
      <c r="H29" s="9"/>
    </row>
    <row r="30" spans="8:8" x14ac:dyDescent="0.35">
      <c r="H30" s="9"/>
    </row>
    <row r="31" spans="8:8" x14ac:dyDescent="0.35">
      <c r="H31" s="9"/>
    </row>
    <row r="32" spans="8:8" x14ac:dyDescent="0.35">
      <c r="H32" s="9"/>
    </row>
  </sheetData>
  <mergeCells count="5">
    <mergeCell ref="A2:A5"/>
    <mergeCell ref="A6:A9"/>
    <mergeCell ref="A10:A13"/>
    <mergeCell ref="A14:A16"/>
    <mergeCell ref="H1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>Boss</cp:lastModifiedBy>
  <dcterms:created xsi:type="dcterms:W3CDTF">2025-10-06T06:07:47Z</dcterms:created>
  <dcterms:modified xsi:type="dcterms:W3CDTF">2025-10-19T17:27:59Z</dcterms:modified>
</cp:coreProperties>
</file>